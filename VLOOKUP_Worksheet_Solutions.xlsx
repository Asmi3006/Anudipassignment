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050" activeTab="1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B3" i="4"/>
  <c r="B4" i="4"/>
  <c r="B5" i="4"/>
  <c r="B6" i="4"/>
  <c r="B7" i="4"/>
  <c r="B2" i="4"/>
  <c r="A7" i="4"/>
  <c r="A3" i="4"/>
  <c r="A4" i="4"/>
  <c r="A5" i="4"/>
  <c r="A6" i="4"/>
  <c r="A2" i="4"/>
  <c r="B2" i="3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E7" i="2"/>
  <c r="E6" i="2"/>
  <c r="E3" i="2"/>
  <c r="E4" i="2"/>
  <c r="E5" i="2"/>
  <c r="E2" i="2"/>
  <c r="D6" i="2"/>
  <c r="D7" i="2"/>
  <c r="D3" i="2"/>
  <c r="D4" i="2"/>
  <c r="D5" i="2"/>
  <c r="D2" i="2"/>
</calcChain>
</file>

<file path=xl/sharedStrings.xml><?xml version="1.0" encoding="utf-8"?>
<sst xmlns="http://schemas.openxmlformats.org/spreadsheetml/2006/main" count="32" uniqueCount="31">
  <si>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</si>
  <si>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</si>
  <si>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</si>
  <si>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</si>
  <si>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</si>
  <si>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</si>
  <si>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</si>
  <si>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</si>
  <si>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</si>
  <si>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</si>
  <si>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</si>
  <si>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</si>
  <si>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</si>
  <si>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</si>
  <si>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</si>
  <si>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</si>
  <si>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</si>
  <si>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</si>
  <si>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</si>
  <si>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</si>
  <si>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</si>
  <si>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</si>
  <si>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</si>
  <si>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</si>
  <si>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Maximum order value</t>
  </si>
  <si>
    <t>Result</t>
  </si>
  <si>
    <t>product not ordered</t>
  </si>
  <si>
    <t>none,all product has been ordered</t>
  </si>
  <si>
    <t>product id</t>
  </si>
  <si>
    <t>product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</si>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</sst>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3" sqref="B3"/>
    </sheetView>
  </sheetViews>
  <sheetFormatPr defaultRowHeight="14.5" x14ac:dyDescent="0.35"/>
  <cols>
    <col min="1" max="2" width="14" customWidth="1"/>
    <col min="3" max="3" width="10" customWidth="1"/>
    <col min="4" max="4" width="16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101</v>
      </c>
      <c r="B2" t="s">
        <v>3</v>
      </c>
      <c r="C2">
        <v>120</v>
      </c>
    </row>
    <row r="3" spans="1:3" x14ac:dyDescent="0.35">
      <c r="A3">
        <v>102</v>
      </c>
      <c r="B3" t="s">
        <v>4</v>
      </c>
      <c r="C3">
        <v>150</v>
      </c>
    </row>
    <row r="4" spans="1:3" x14ac:dyDescent="0.35">
      <c r="A4">
        <v>103</v>
      </c>
      <c r="B4" t="s">
        <v>5</v>
      </c>
      <c r="C4">
        <v>200</v>
      </c>
    </row>
    <row r="5" spans="1:3" x14ac:dyDescent="0.35">
      <c r="A5">
        <v>104</v>
      </c>
      <c r="B5" t="s">
        <v>6</v>
      </c>
      <c r="C5">
        <v>90</v>
      </c>
    </row>
    <row r="6" spans="1:3" x14ac:dyDescent="0.35">
      <c r="A6">
        <v>105</v>
      </c>
      <c r="B6" t="s">
        <v>7</v>
      </c>
      <c r="C6">
        <v>220</v>
      </c>
    </row>
    <row r="7" spans="1:3" x14ac:dyDescent="0.3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D6" sqref="D6"/>
    </sheetView>
  </sheetViews>
  <sheetFormatPr defaultRowHeight="14.5" x14ac:dyDescent="0.3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s="3" customFormat="1" x14ac:dyDescent="0.35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s="3" customFormat="1" x14ac:dyDescent="0.35">
      <c r="A2" s="3">
        <v>1</v>
      </c>
      <c r="B2" s="3">
        <v>101</v>
      </c>
      <c r="C2" s="3">
        <v>2</v>
      </c>
      <c r="D2" s="3" t="str">
        <f>VLOOKUP(B2,Products!A2:C7,2,FALSE)</f>
        <v>Product A</v>
      </c>
      <c r="E2" s="3">
        <f>VLOOKUP(B2,Products!A2:C7,3,FALSE)</f>
        <v>120</v>
      </c>
      <c r="F2" s="3">
        <f>C2*E2</f>
        <v>240</v>
      </c>
      <c r="G2" s="3">
        <f>E2-(E2*10%)</f>
        <v>108</v>
      </c>
      <c r="H2" s="3" t="str">
        <f>IF(ISNA(VLOOKUP(B2,Products!$A$2:$C$7,1,FALSE)),"Not Found","Exists")</f>
        <v>Exists</v>
      </c>
    </row>
    <row r="3" spans="1:8" s="3" customFormat="1" x14ac:dyDescent="0.35">
      <c r="A3" s="3">
        <v>2</v>
      </c>
      <c r="B3" s="3">
        <v>103</v>
      </c>
      <c r="C3" s="3">
        <v>1</v>
      </c>
      <c r="D3" s="3" t="str">
        <f>VLOOKUP(B3,Products!A3:C8,2,FALSE)</f>
        <v>Product C</v>
      </c>
      <c r="E3" s="3">
        <f>VLOOKUP(B3,Products!A3:C8,3,FALSE)</f>
        <v>200</v>
      </c>
      <c r="F3" s="3">
        <f t="shared" ref="F3:F7" si="0">C3*E3</f>
        <v>200</v>
      </c>
      <c r="G3" s="3">
        <f t="shared" ref="G3:G7" si="1">E3-(E3*10%)</f>
        <v>180</v>
      </c>
      <c r="H3" s="3" t="str">
        <f>IF(ISNA(VLOOKUP(B3,Products!$A$2:$C$7,1,FALSE)),"Not Found","Exists")</f>
        <v>Exists</v>
      </c>
    </row>
    <row r="4" spans="1:8" s="3" customFormat="1" x14ac:dyDescent="0.35">
      <c r="A4" s="3">
        <v>3</v>
      </c>
      <c r="B4" s="3">
        <v>105</v>
      </c>
      <c r="C4" s="3">
        <v>4</v>
      </c>
      <c r="D4" s="3" t="str">
        <f>VLOOKUP(B4,Products!A4:C9,2,FALSE)</f>
        <v>Product E</v>
      </c>
      <c r="E4" s="3">
        <f>VLOOKUP(B4,Products!A4:C9,3,FALSE)</f>
        <v>220</v>
      </c>
      <c r="F4" s="3">
        <f t="shared" si="0"/>
        <v>880</v>
      </c>
      <c r="G4" s="3">
        <f t="shared" si="1"/>
        <v>198</v>
      </c>
      <c r="H4" s="3" t="str">
        <f>IF(ISNA(VLOOKUP(B4,Products!$A$2:$C$7,1,FALSE)),"Not Found","Exists")</f>
        <v>Exists</v>
      </c>
    </row>
    <row r="5" spans="1:8" s="3" customFormat="1" x14ac:dyDescent="0.35">
      <c r="A5" s="3">
        <v>4</v>
      </c>
      <c r="B5" s="3">
        <v>106</v>
      </c>
      <c r="C5" s="3">
        <v>3</v>
      </c>
      <c r="D5" s="3" t="str">
        <f>VLOOKUP(B5,Products!A5:C10,2,FALSE)</f>
        <v>Product F</v>
      </c>
      <c r="E5" s="3">
        <f>VLOOKUP(B5,Products!A5:C10,3,FALSE)</f>
        <v>130</v>
      </c>
      <c r="F5" s="3">
        <f t="shared" si="0"/>
        <v>390</v>
      </c>
      <c r="G5" s="3">
        <f t="shared" si="1"/>
        <v>117</v>
      </c>
      <c r="H5" s="3" t="str">
        <f>IF(ISNA(VLOOKUP(B5,Products!$A$2:$C$7,1,FALSE)),"Not Found","Exists")</f>
        <v>Exists</v>
      </c>
    </row>
    <row r="6" spans="1:8" s="3" customFormat="1" x14ac:dyDescent="0.35">
      <c r="A6" s="3">
        <v>5</v>
      </c>
      <c r="B6" s="3">
        <v>102</v>
      </c>
      <c r="C6" s="3">
        <v>5</v>
      </c>
      <c r="D6" s="3" t="str">
        <f>VLOOKUP(B6,Products!A2:C7,2,FALSE)</f>
        <v>Product B</v>
      </c>
      <c r="E6" s="3">
        <f>VLOOKUP(B6,Products!A2:C7,3,FALSE)</f>
        <v>150</v>
      </c>
      <c r="F6" s="3">
        <f t="shared" si="0"/>
        <v>750</v>
      </c>
      <c r="G6" s="3">
        <f t="shared" si="1"/>
        <v>135</v>
      </c>
      <c r="H6" s="3" t="str">
        <f>IF(ISNA(VLOOKUP(B6,Products!$A$2:$C$7,1,FALSE)),"Not Found","Exists")</f>
        <v>Exists</v>
      </c>
    </row>
    <row r="7" spans="1:8" s="3" customFormat="1" x14ac:dyDescent="0.35">
      <c r="A7" s="3">
        <v>6</v>
      </c>
      <c r="B7" s="3">
        <v>104</v>
      </c>
      <c r="C7" s="3">
        <v>6</v>
      </c>
      <c r="D7" s="3" t="str">
        <f>VLOOKUP(B7,Products!A2:C7,2,FALSE)</f>
        <v>Product D</v>
      </c>
      <c r="E7" s="3">
        <f>VLOOKUP(B7,Products!A2:C7,3,0)</f>
        <v>90</v>
      </c>
      <c r="F7" s="3">
        <f t="shared" si="0"/>
        <v>540</v>
      </c>
      <c r="G7" s="3">
        <f t="shared" si="1"/>
        <v>81</v>
      </c>
      <c r="H7" s="3" t="str">
        <f>IF(ISNA(VLOOKUP(B7,Products!$A$2:$C$7,1,FALSE)),"Not Found","Exists")</f>
        <v>Exists</v>
      </c>
    </row>
    <row r="10" spans="1:8" x14ac:dyDescent="0.35">
      <c r="A10" t="s">
        <v>16</v>
      </c>
    </row>
    <row r="11" spans="1:8" x14ac:dyDescent="0.35">
      <c r="A11" t="s">
        <v>17</v>
      </c>
    </row>
    <row r="12" spans="1:8" x14ac:dyDescent="0.35">
      <c r="A12" t="s">
        <v>18</v>
      </c>
    </row>
    <row r="13" spans="1:8" x14ac:dyDescent="0.35">
      <c r="A13" t="s">
        <v>19</v>
      </c>
    </row>
    <row r="14" spans="1:8" x14ac:dyDescent="0.35">
      <c r="A14" t="s">
        <v>20</v>
      </c>
    </row>
    <row r="15" spans="1:8" x14ac:dyDescent="0.35">
      <c r="A15" t="s">
        <v>21</v>
      </c>
    </row>
    <row r="16" spans="1:8" x14ac:dyDescent="0.35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3" sqref="A1:B3"/>
    </sheetView>
  </sheetViews>
  <sheetFormatPr defaultRowHeight="14.5" x14ac:dyDescent="0.35"/>
  <cols>
    <col min="1" max="1" width="42" customWidth="1"/>
    <col min="2" max="2" width="30.08984375" bestFit="1" customWidth="1"/>
  </cols>
  <sheetData>
    <row r="1" spans="1:2" x14ac:dyDescent="0.35">
      <c r="A1" s="2" t="s">
        <v>23</v>
      </c>
      <c r="B1" s="2" t="s">
        <v>25</v>
      </c>
    </row>
    <row r="2" spans="1:2" x14ac:dyDescent="0.35">
      <c r="A2" s="3" t="s">
        <v>24</v>
      </c>
      <c r="B2" s="3">
        <f>MAX(Orders!F2:F7)</f>
        <v>880</v>
      </c>
    </row>
    <row r="3" spans="1:2" x14ac:dyDescent="0.35">
      <c r="A3" s="3" t="s">
        <v>26</v>
      </c>
      <c r="B3" s="3" t="s">
        <v>27</v>
      </c>
    </row>
    <row r="4" spans="1:2" x14ac:dyDescent="0.3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" sqref="A1:C7"/>
    </sheetView>
  </sheetViews>
  <sheetFormatPr defaultRowHeight="14.5" x14ac:dyDescent="0.35"/>
  <cols>
    <col min="1" max="2" width="17" customWidth="1"/>
    <col min="3" max="3" width="37" customWidth="1"/>
  </cols>
  <sheetData>
    <row r="1" spans="1:3" x14ac:dyDescent="0.35">
      <c r="A1" s="2" t="s">
        <v>28</v>
      </c>
      <c r="B1" s="2" t="s">
        <v>29</v>
      </c>
      <c r="C1" s="2" t="s">
        <v>30</v>
      </c>
    </row>
    <row r="2" spans="1:3" x14ac:dyDescent="0.35">
      <c r="A2" s="3">
        <f>Products!A2</f>
        <v>101</v>
      </c>
      <c r="B2" s="3" t="str">
        <f>Products!B2</f>
        <v>Product A</v>
      </c>
      <c r="C2" s="3">
        <f>SUMIF(Orders!B2:B7,Products!A2,Orders!C2:C7)</f>
        <v>2</v>
      </c>
    </row>
    <row r="3" spans="1:3" x14ac:dyDescent="0.35">
      <c r="A3" s="3">
        <f>Products!A3</f>
        <v>102</v>
      </c>
      <c r="B3" s="3" t="str">
        <f>Products!B3</f>
        <v>Product B</v>
      </c>
      <c r="C3" s="3">
        <f>SUMIF(Orders!B3:B8,Products!A3,Orders!C3:C8)</f>
        <v>5</v>
      </c>
    </row>
    <row r="4" spans="1:3" x14ac:dyDescent="0.35">
      <c r="A4" s="3">
        <f>Products!A4</f>
        <v>103</v>
      </c>
      <c r="B4" s="3" t="str">
        <f>Products!B4</f>
        <v>Product C</v>
      </c>
      <c r="C4" s="3">
        <f>SUMIF(Orders!B4:B9,Products!A4,Orders!C4:C9)</f>
        <v>0</v>
      </c>
    </row>
    <row r="5" spans="1:3" x14ac:dyDescent="0.35">
      <c r="A5" s="3">
        <f>Products!A5</f>
        <v>104</v>
      </c>
      <c r="B5" s="3" t="str">
        <f>Products!B5</f>
        <v>Product D</v>
      </c>
      <c r="C5" s="3">
        <f>SUMIF(Orders!B5:B10,Products!A5,Orders!C5:C10)</f>
        <v>6</v>
      </c>
    </row>
    <row r="6" spans="1:3" x14ac:dyDescent="0.35">
      <c r="A6" s="3">
        <f>Products!A6</f>
        <v>105</v>
      </c>
      <c r="B6" s="3" t="str">
        <f>Products!B6</f>
        <v>Product E</v>
      </c>
      <c r="C6" s="3">
        <f>SUMIF(Orders!B6:B11,Products!A6,Orders!C6:C11)</f>
        <v>0</v>
      </c>
    </row>
    <row r="7" spans="1:3" x14ac:dyDescent="0.35">
      <c r="A7" s="3">
        <f>Products!A7</f>
        <v>106</v>
      </c>
      <c r="B7" s="3" t="str">
        <f>Products!B7</f>
        <v>Product F</v>
      </c>
      <c r="C7" s="3">
        <f>SUMIF(Orders!B7:B12,Products!A7,Orders!C7:C12)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2026-05-18T03:48:30Z</dcterms:created>
  <dcterms:modified xsi:type="dcterms:W3CDTF">2026-05-18T08:27:54Z</dcterms:modified>
</cp:coreProperties>
</file>